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nastrocchi/Library/CloudStorage/Dropbox/IMPERIAL_postdoc/side_projects/mike_shattock/revision1/rat_model/"/>
    </mc:Choice>
  </mc:AlternateContent>
  <xr:revisionPtr revIDLastSave="0" documentId="13_ncr:1_{FE5DFB6E-D616-AB49-A7EB-76D40F965F80}" xr6:coauthVersionLast="47" xr6:coauthVersionMax="47" xr10:uidLastSave="{00000000-0000-0000-0000-000000000000}"/>
  <bookViews>
    <workbookView xWindow="1160" yWindow="1520" windowWidth="27640" windowHeight="16440" xr2:uid="{A656DFB3-DB5A-7049-8932-6963225A0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7" i="1" l="1"/>
  <c r="C17" i="1"/>
  <c r="D17" i="1"/>
  <c r="F17" i="1"/>
  <c r="G17" i="1"/>
  <c r="B17" i="1"/>
  <c r="C13" i="1"/>
  <c r="D13" i="1"/>
  <c r="E13" i="1"/>
  <c r="F13" i="1"/>
  <c r="B13" i="1"/>
  <c r="E9" i="1"/>
  <c r="C9" i="1"/>
  <c r="D9" i="1"/>
  <c r="F9" i="1"/>
  <c r="G9" i="1"/>
  <c r="B9" i="1"/>
  <c r="G5" i="1"/>
  <c r="C5" i="1"/>
  <c r="D5" i="1"/>
  <c r="E5" i="1"/>
  <c r="F5" i="1"/>
  <c r="B5" i="1"/>
</calcChain>
</file>

<file path=xl/sharedStrings.xml><?xml version="1.0" encoding="utf-8"?>
<sst xmlns="http://schemas.openxmlformats.org/spreadsheetml/2006/main" count="23" uniqueCount="20">
  <si>
    <t>baseline_pH</t>
  </si>
  <si>
    <t>baseline_pH_NHE_off</t>
  </si>
  <si>
    <t>% change</t>
  </si>
  <si>
    <t>Section 1: NHE off healthy cell</t>
  </si>
  <si>
    <t>Na_i[mM]</t>
  </si>
  <si>
    <t>NHE_flux[uM/ms]</t>
  </si>
  <si>
    <t>Ca_i_diast[uM]</t>
  </si>
  <si>
    <t>Ca_i_max[uM]</t>
  </si>
  <si>
    <t>Ca_i_ampl[uM]</t>
  </si>
  <si>
    <t>T_max[kPa]</t>
  </si>
  <si>
    <t>mean_pH_i[-]</t>
  </si>
  <si>
    <t>Section 2: NHE off healthy cell with low bicarbonate</t>
  </si>
  <si>
    <t>low_pH_bicarb_pH</t>
  </si>
  <si>
    <t>low_pH_bicarb_pH_NHE_off</t>
  </si>
  <si>
    <t>Section 3: -32% intracellular sodium</t>
  </si>
  <si>
    <t>baseline_pH_Km60</t>
  </si>
  <si>
    <t>Section 4: intracellular sodium overload</t>
  </si>
  <si>
    <t>HF_pH</t>
  </si>
  <si>
    <t>HF_pH_NHE_off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</si>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</sst>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"/>
    <numFmt numFmtId="166" formatCode="0.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B2B1D-687A-AF49-B8B7-08B23351F654}">
  <dimension ref="A1:H17"/>
  <sheetViews>
    <sheetView tabSelected="1" zoomScale="143" workbookViewId="0">
      <selection activeCell="G13" sqref="G13"/>
    </sheetView>
  </sheetViews>
  <sheetFormatPr baseColWidth="10" defaultRowHeight="16" x14ac:dyDescent="0.2"/>
  <cols>
    <col min="1" max="1" width="25.1640625" style="2" bestFit="1" customWidth="1"/>
    <col min="2" max="2" width="14.33203125" bestFit="1" customWidth="1"/>
    <col min="3" max="3" width="16.5" bestFit="1" customWidth="1"/>
    <col min="4" max="4" width="15.5" bestFit="1" customWidth="1"/>
    <col min="5" max="6" width="14.6640625" bestFit="1" customWidth="1"/>
    <col min="7" max="7" width="15.6640625" bestFit="1" customWidth="1"/>
    <col min="8" max="8" width="11.33203125" bestFit="1" customWidth="1"/>
  </cols>
  <sheetData>
    <row r="1" spans="1:8" x14ac:dyDescent="0.2"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</row>
    <row r="2" spans="1:8" x14ac:dyDescent="0.2">
      <c r="A2" s="7" t="s">
        <v>3</v>
      </c>
      <c r="B2" s="7"/>
      <c r="C2" s="7"/>
      <c r="D2" s="7"/>
      <c r="E2" s="7"/>
      <c r="F2" s="7"/>
      <c r="G2" s="7"/>
      <c r="H2" s="7"/>
    </row>
    <row r="3" spans="1:8" x14ac:dyDescent="0.2">
      <c r="A3" s="2" t="s">
        <v>0</v>
      </c>
      <c r="B3" s="5">
        <v>11.5017</v>
      </c>
      <c r="C3" s="3">
        <v>1.00392E-7</v>
      </c>
      <c r="D3" s="4">
        <v>8.5280099999999998E-2</v>
      </c>
      <c r="E3" s="5">
        <v>1.24417</v>
      </c>
      <c r="F3" s="5">
        <v>1.15889</v>
      </c>
      <c r="G3" s="6">
        <v>15.852</v>
      </c>
      <c r="H3" s="5">
        <v>7.2068199999999996</v>
      </c>
    </row>
    <row r="4" spans="1:8" x14ac:dyDescent="0.2">
      <c r="A4" s="2" t="s">
        <v>1</v>
      </c>
      <c r="B4" s="5">
        <v>11.0342</v>
      </c>
      <c r="C4" s="3">
        <v>0</v>
      </c>
      <c r="D4" s="4">
        <v>9.7595500000000002E-2</v>
      </c>
      <c r="E4" s="5">
        <v>1.2687299999999999</v>
      </c>
      <c r="F4" s="5">
        <v>1.17113</v>
      </c>
      <c r="G4" s="6">
        <v>17.720600000000001</v>
      </c>
      <c r="H4" s="5">
        <v>7.0804400000000003</v>
      </c>
    </row>
    <row r="5" spans="1:8" x14ac:dyDescent="0.2">
      <c r="A5" s="2" t="s">
        <v>2</v>
      </c>
      <c r="B5" s="6">
        <f>(B4-B3)/B3*100</f>
        <v>-4.0646165349470031</v>
      </c>
      <c r="C5" s="6">
        <f t="shared" ref="C5:G5" si="0">(C4-C3)/C3*100</f>
        <v>-100</v>
      </c>
      <c r="D5" s="6">
        <f t="shared" si="0"/>
        <v>14.441118150658836</v>
      </c>
      <c r="E5" s="6">
        <f t="shared" si="0"/>
        <v>1.9740067675639115</v>
      </c>
      <c r="F5" s="6">
        <f t="shared" si="0"/>
        <v>1.0561830717324361</v>
      </c>
      <c r="G5" s="6">
        <f t="shared" si="0"/>
        <v>11.78778703002776</v>
      </c>
      <c r="H5" s="6"/>
    </row>
    <row r="6" spans="1:8" x14ac:dyDescent="0.2">
      <c r="A6" s="7" t="s">
        <v>11</v>
      </c>
      <c r="B6" s="7"/>
      <c r="C6" s="7"/>
      <c r="D6" s="7"/>
      <c r="E6" s="7"/>
      <c r="F6" s="7"/>
      <c r="G6" s="7"/>
      <c r="H6" s="7"/>
    </row>
    <row r="7" spans="1:8" x14ac:dyDescent="0.2">
      <c r="A7" s="2" t="s">
        <v>12</v>
      </c>
      <c r="B7" s="6">
        <v>11.331</v>
      </c>
      <c r="C7" s="1">
        <v>9.7199900000000005E-8</v>
      </c>
      <c r="D7" s="5">
        <v>9.21622E-2</v>
      </c>
      <c r="E7" s="5">
        <v>1.2594700000000001</v>
      </c>
      <c r="F7" s="5">
        <v>1.1673100000000001</v>
      </c>
      <c r="G7" s="5">
        <v>17.090599999999998</v>
      </c>
      <c r="H7" s="5">
        <v>7.1531799999999999</v>
      </c>
    </row>
    <row r="8" spans="1:8" x14ac:dyDescent="0.2">
      <c r="A8" s="2" t="s">
        <v>13</v>
      </c>
      <c r="B8" s="6">
        <v>11.351100000000001</v>
      </c>
      <c r="C8">
        <v>0</v>
      </c>
      <c r="D8" s="5">
        <v>0.123722</v>
      </c>
      <c r="E8" s="5">
        <v>1.35364</v>
      </c>
      <c r="F8" s="5">
        <v>1.2299199999999999</v>
      </c>
      <c r="G8" s="5">
        <v>22.3827</v>
      </c>
      <c r="H8" s="5">
        <v>6.94238</v>
      </c>
    </row>
    <row r="9" spans="1:8" x14ac:dyDescent="0.2">
      <c r="B9" s="6">
        <f>(B8-B7)/B7*100</f>
        <v>0.17738946253641441</v>
      </c>
      <c r="C9">
        <f t="shared" ref="C9:G9" si="1">(C8-C7)/C7*100</f>
        <v>-100</v>
      </c>
      <c r="D9" s="5">
        <f t="shared" si="1"/>
        <v>34.243757201976514</v>
      </c>
      <c r="E9" s="5">
        <f t="shared" si="1"/>
        <v>7.4769545920109133</v>
      </c>
      <c r="F9" s="5">
        <f t="shared" si="1"/>
        <v>5.3636137786877374</v>
      </c>
      <c r="G9" s="5">
        <f t="shared" si="1"/>
        <v>30.964974898482218</v>
      </c>
      <c r="H9" s="5"/>
    </row>
    <row r="10" spans="1:8" x14ac:dyDescent="0.2">
      <c r="A10" s="7" t="s">
        <v>14</v>
      </c>
      <c r="B10" s="8"/>
      <c r="C10" s="8"/>
      <c r="D10" s="8"/>
      <c r="E10" s="8"/>
      <c r="F10" s="8"/>
      <c r="G10" s="8"/>
      <c r="H10" s="8"/>
    </row>
    <row r="11" spans="1:8" x14ac:dyDescent="0.2">
      <c r="A11" s="2" t="s">
        <v>0</v>
      </c>
      <c r="B11" s="5">
        <v>11.5017</v>
      </c>
      <c r="C11" s="3">
        <v>1.00392E-7</v>
      </c>
      <c r="D11" s="5">
        <v>8.5280099999999998E-2</v>
      </c>
      <c r="E11" s="5">
        <v>1.24417</v>
      </c>
      <c r="F11" s="5">
        <v>1.15889</v>
      </c>
      <c r="G11" s="5">
        <v>15.852</v>
      </c>
      <c r="H11" s="5">
        <v>7.2068199999999996</v>
      </c>
    </row>
    <row r="12" spans="1:8" x14ac:dyDescent="0.2">
      <c r="A12" s="2" t="s">
        <v>15</v>
      </c>
      <c r="B12" s="5">
        <v>7.5058800000000003</v>
      </c>
      <c r="C12" s="3">
        <v>1.08094E-7</v>
      </c>
      <c r="D12" s="5">
        <v>7.3379E-2</v>
      </c>
      <c r="E12" s="5">
        <v>1.1484099999999999</v>
      </c>
      <c r="F12" s="5">
        <v>1.0750299999999999</v>
      </c>
      <c r="G12" s="5">
        <v>12.214600000000001</v>
      </c>
      <c r="H12" s="5">
        <v>7.2166899999999998</v>
      </c>
    </row>
    <row r="13" spans="1:8" x14ac:dyDescent="0.2">
      <c r="A13" s="2" t="s">
        <v>2</v>
      </c>
      <c r="B13" s="5">
        <f>(B12-B11)/B11*100</f>
        <v>-34.741125224966737</v>
      </c>
      <c r="C13" s="5">
        <f t="shared" ref="C13:G13" si="2">(C12-C11)/C11*100</f>
        <v>7.6719260498844504</v>
      </c>
      <c r="D13" s="5">
        <f t="shared" si="2"/>
        <v>-13.955307275671579</v>
      </c>
      <c r="E13" s="5">
        <f t="shared" si="2"/>
        <v>-7.6966973966580188</v>
      </c>
      <c r="F13" s="5">
        <f t="shared" si="2"/>
        <v>-7.2362346728334916</v>
      </c>
      <c r="G13" s="5" t="s">
        <v>19</v>
      </c>
    </row>
    <row r="14" spans="1:8" x14ac:dyDescent="0.2">
      <c r="A14" s="7" t="s">
        <v>16</v>
      </c>
      <c r="B14" s="8"/>
      <c r="C14" s="8"/>
      <c r="D14" s="8"/>
      <c r="E14" s="8"/>
      <c r="F14" s="8"/>
      <c r="G14" s="8"/>
      <c r="H14" s="8"/>
    </row>
    <row r="15" spans="1:8" x14ac:dyDescent="0.2">
      <c r="A15" s="2" t="s">
        <v>17</v>
      </c>
      <c r="B15" s="5">
        <v>16.8323</v>
      </c>
      <c r="C15" s="1">
        <v>1.32058E-7</v>
      </c>
      <c r="D15" s="5">
        <v>0.12528700000000001</v>
      </c>
      <c r="E15" s="5">
        <v>1.4750700000000001</v>
      </c>
      <c r="F15" s="5">
        <v>1.34978</v>
      </c>
      <c r="G15" s="5">
        <v>34.033900000000003</v>
      </c>
      <c r="H15" s="5">
        <v>7.1183399999999999</v>
      </c>
    </row>
    <row r="16" spans="1:8" x14ac:dyDescent="0.2">
      <c r="A16" s="2" t="s">
        <v>18</v>
      </c>
      <c r="B16" s="5">
        <v>16.628699999999998</v>
      </c>
      <c r="C16">
        <v>0</v>
      </c>
      <c r="D16" s="5">
        <v>0.16603399999999999</v>
      </c>
      <c r="E16" s="5">
        <v>1.5631900000000001</v>
      </c>
      <c r="F16" s="5">
        <v>1.39716</v>
      </c>
      <c r="G16" s="5">
        <v>33.117100000000001</v>
      </c>
      <c r="H16" s="5">
        <v>6.93492</v>
      </c>
    </row>
    <row r="17" spans="1:7" x14ac:dyDescent="0.2">
      <c r="A17" s="2" t="s">
        <v>2</v>
      </c>
      <c r="B17" s="5">
        <f>(B16-B15)/B15*100</f>
        <v>-1.2095792018916105</v>
      </c>
      <c r="C17" s="5">
        <f t="shared" ref="C17:G17" si="3">(C16-C15)/C15*100</f>
        <v>-100</v>
      </c>
      <c r="D17" s="5">
        <f t="shared" si="3"/>
        <v>32.522927358784209</v>
      </c>
      <c r="E17" s="5">
        <f t="shared" si="3"/>
        <v>5.9739537784647485</v>
      </c>
      <c r="F17" s="5">
        <f t="shared" si="3"/>
        <v>3.5102016624931451</v>
      </c>
      <c r="G17" s="5">
        <f t="shared" si="3"/>
        <v>-2.6937847264051489</v>
      </c>
    </row>
  </sheetData>
  <mergeCells count="4">
    <mergeCell ref="A2:H2"/>
    <mergeCell ref="A6:H6"/>
    <mergeCell ref="A10:H10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2026-02-10T16:18:37Z</dcterms:created>
  <dcterms:modified xsi:type="dcterms:W3CDTF">2026-04-02T10:24:20Z</dcterms:modified>
</cp:coreProperties>
</file>